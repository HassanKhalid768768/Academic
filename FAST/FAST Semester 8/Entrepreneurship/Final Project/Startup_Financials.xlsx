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cademic\Academic\8th_Semester\Enterpinorship\New folder\"/>
    </mc:Choice>
  </mc:AlternateContent>
  <bookViews>
    <workbookView xWindow="0" yWindow="0" windowWidth="23040" windowHeight="8688" activeTab="2"/>
  </bookViews>
  <sheets>
    <sheet name="Cash Flow Statement" sheetId="1" r:id="rId1"/>
    <sheet name="Income Statement" sheetId="2" r:id="rId2"/>
    <sheet name="Balance Sheet" sheetId="3" r:id="rId3"/>
  </sheets>
  <calcPr calcId="162913"/>
</workbook>
</file>

<file path=xl/calcChain.xml><?xml version="1.0" encoding="utf-8"?>
<calcChain xmlns="http://schemas.openxmlformats.org/spreadsheetml/2006/main">
  <c r="F13" i="3" l="1"/>
  <c r="H13" i="3"/>
  <c r="E15" i="2"/>
  <c r="E14" i="2"/>
  <c r="E13" i="2"/>
  <c r="E17" i="1"/>
  <c r="E16" i="1"/>
  <c r="E15" i="1"/>
</calcChain>
</file>

<file path=xl/sharedStrings.xml><?xml version="1.0" encoding="utf-8"?>
<sst xmlns="http://schemas.openxmlformats.org/spreadsheetml/2006/main" count="151" uniqueCount="122">
  <si>
    <t>Transaction Type</t>
  </si>
  <si>
    <t>Amount (PKR)</t>
  </si>
  <si>
    <t>Fertilizer Sales (Retail)</t>
  </si>
  <si>
    <t>Fertilizer Sales (Wholesale)</t>
  </si>
  <si>
    <t>Fertilizer Sales (Export)</t>
  </si>
  <si>
    <t>Skincare Product Sales (Online)</t>
  </si>
  <si>
    <t>Skincare Product Sales (Retail)</t>
  </si>
  <si>
    <t>Skincare Product Sales (Wholesale)</t>
  </si>
  <si>
    <t>Cleaning Product Sales (Retail)</t>
  </si>
  <si>
    <t>Cleaning Product Sales (Wholesale)</t>
  </si>
  <si>
    <t>Waste Management Service Fees</t>
  </si>
  <si>
    <t>Recycling Consultation Services</t>
  </si>
  <si>
    <t>Consulting Fees</t>
  </si>
  <si>
    <t>Training Workshop Fees</t>
  </si>
  <si>
    <t>Income from Product Testing Services</t>
  </si>
  <si>
    <t>Equipment Leasing Income</t>
  </si>
  <si>
    <t>Initial Investment by Founders</t>
  </si>
  <si>
    <t>Private Investor Funding</t>
  </si>
  <si>
    <t>Grants from Government Programs</t>
  </si>
  <si>
    <t>Funding from Sustainability Programs</t>
  </si>
  <si>
    <t>CSR Partnership Grants</t>
  </si>
  <si>
    <t>Subscription Fees</t>
  </si>
  <si>
    <t>Sales of R&amp;D Licensed Products</t>
  </si>
  <si>
    <t>Eco-packaging Sales</t>
  </si>
  <si>
    <t>Franchise Sales</t>
  </si>
  <si>
    <t>Local Contract Revenue</t>
  </si>
  <si>
    <t>Salaries and Wages</t>
  </si>
  <si>
    <t>Rent and Utilities</t>
  </si>
  <si>
    <t>Marketing and Advertising</t>
  </si>
  <si>
    <t>Insurance Payments</t>
  </si>
  <si>
    <t>Office Supplies and Equipment</t>
  </si>
  <si>
    <t>Research and Development Expenses</t>
  </si>
  <si>
    <t>Travel and Transport Costs</t>
  </si>
  <si>
    <t>Legal and Professional Fees</t>
  </si>
  <si>
    <t>Accounting and Auditing Fees</t>
  </si>
  <si>
    <t>Interest on Loans</t>
  </si>
  <si>
    <t>Bank Charges</t>
  </si>
  <si>
    <t>Debt Repayment</t>
  </si>
  <si>
    <t>Inventory Purchases</t>
  </si>
  <si>
    <t>Raw Material Costs</t>
  </si>
  <si>
    <t>Miscellaneous Expenses</t>
  </si>
  <si>
    <t>Category</t>
  </si>
  <si>
    <t>Sales of Fertilizers (Retail)</t>
  </si>
  <si>
    <t>Sales of Fertilizers (Wholesale)</t>
  </si>
  <si>
    <t>Sales of Fertilizers (Export)</t>
  </si>
  <si>
    <t>Sales of Skincare Products (Online)</t>
  </si>
  <si>
    <t>Sales of Skincare Products (Retail)</t>
  </si>
  <si>
    <t>Sales of Skincare Products (Wholesale)</t>
  </si>
  <si>
    <t>Sales of Cleaning Products (Retail)</t>
  </si>
  <si>
    <t>Sales of Cleaning Products (Wholesale)</t>
  </si>
  <si>
    <t>Assets</t>
  </si>
  <si>
    <t>Assets Amount (PKR)</t>
  </si>
  <si>
    <t>Liabilities and Equity</t>
  </si>
  <si>
    <t>Liabilities Amount (PKR)</t>
  </si>
  <si>
    <t>Cash and Cash Equivalents</t>
  </si>
  <si>
    <t>Founder Equity</t>
  </si>
  <si>
    <t>Accounts Receivable</t>
  </si>
  <si>
    <t>Investor Equity</t>
  </si>
  <si>
    <t>Bank Loan</t>
  </si>
  <si>
    <t>Prepaid Expenses</t>
  </si>
  <si>
    <t>Grants</t>
  </si>
  <si>
    <t>Accounts Payable</t>
  </si>
  <si>
    <t>Recycling Machinery</t>
  </si>
  <si>
    <t>Accrued Expenses</t>
  </si>
  <si>
    <t>Vehicles</t>
  </si>
  <si>
    <t>Deferred Revenue</t>
  </si>
  <si>
    <t>Furniture and Fixtures</t>
  </si>
  <si>
    <t>Credit Line</t>
  </si>
  <si>
    <t>Salaries Payable</t>
  </si>
  <si>
    <t>Processing Facility</t>
  </si>
  <si>
    <t>Tax Payable</t>
  </si>
  <si>
    <t>R&amp;D Lab Equipment</t>
  </si>
  <si>
    <t>Long-term Lease Obligation</t>
  </si>
  <si>
    <t>Software Licenses</t>
  </si>
  <si>
    <t>Vendor Credit</t>
  </si>
  <si>
    <t>Patents</t>
  </si>
  <si>
    <t>R&amp;D Grant</t>
  </si>
  <si>
    <t>Trademarks</t>
  </si>
  <si>
    <t>Equipment Lease</t>
  </si>
  <si>
    <t>Website and Digital Assets</t>
  </si>
  <si>
    <t>Raw Material Credit</t>
  </si>
  <si>
    <t>Marketing Collaterals</t>
  </si>
  <si>
    <t>Distribution Payable</t>
  </si>
  <si>
    <t>Safety Testing Equipment</t>
  </si>
  <si>
    <t>Licensing Obligation</t>
  </si>
  <si>
    <t>Product Samples</t>
  </si>
  <si>
    <t>Regulatory Fees Payable</t>
  </si>
  <si>
    <t>Security Bond</t>
  </si>
  <si>
    <t>Eco-friendly Packaging Inventory</t>
  </si>
  <si>
    <t>Customer Advances</t>
  </si>
  <si>
    <t>Investments</t>
  </si>
  <si>
    <t>Consultant Fees Payable</t>
  </si>
  <si>
    <t>Security Deposits</t>
  </si>
  <si>
    <t>Bonus Payable</t>
  </si>
  <si>
    <t>Advance Payments</t>
  </si>
  <si>
    <t>Audit Fees Payable</t>
  </si>
  <si>
    <t>Tools and Small Machinery</t>
  </si>
  <si>
    <t>Marketing Expenses Payable</t>
  </si>
  <si>
    <t>Spare Parts Inventory</t>
  </si>
  <si>
    <t>Utility Bills Payable</t>
  </si>
  <si>
    <t>Computers and Devices</t>
  </si>
  <si>
    <t>Legal Fees Payable</t>
  </si>
  <si>
    <t>Cloud Storage and Subscriptions</t>
  </si>
  <si>
    <t>Employee Reimbursements</t>
  </si>
  <si>
    <t>Customer Database</t>
  </si>
  <si>
    <t>Distribution Agreements</t>
  </si>
  <si>
    <t>Insurance Payable</t>
  </si>
  <si>
    <t>Consulting Contracts</t>
  </si>
  <si>
    <t>Equity Retained Earnings</t>
  </si>
  <si>
    <t>Total Inflow</t>
  </si>
  <si>
    <t>Total OutFlow</t>
  </si>
  <si>
    <t>GrandTotal</t>
  </si>
  <si>
    <t>MEDRECYCLE</t>
  </si>
  <si>
    <t>Cash Flow Statement</t>
  </si>
  <si>
    <t xml:space="preserve">Total Revenue </t>
  </si>
  <si>
    <t>Total Expences</t>
  </si>
  <si>
    <t>Net Income</t>
  </si>
  <si>
    <t>Income Statement</t>
  </si>
  <si>
    <t xml:space="preserve">Total Asserts </t>
  </si>
  <si>
    <t>Liabilities +Equity</t>
  </si>
  <si>
    <t xml:space="preserve"> =</t>
  </si>
  <si>
    <t>Balance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</si>
</sst>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b/>
      <sz val="22"/>
      <color theme="1"/>
      <name val="Times New Roman"/>
      <family val="1"/>
    </font>
    <font>
      <b/>
      <sz val="28"/>
      <color theme="1"/>
      <name val="Times New Roman"/>
      <family val="1"/>
    </font>
    <font>
      <b/>
      <sz val="48"/>
      <color theme="1"/>
      <name val="Times New Roman"/>
      <family val="1"/>
    </font>
    <font>
      <b/>
      <sz val="26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top"/>
    </xf>
    <xf numFmtId="0" fontId="7" fillId="2" borderId="0" xfId="0" applyFont="1" applyFill="1" applyBorder="1" applyAlignment="1">
      <alignment horizontal="center"/>
    </xf>
    <xf numFmtId="0" fontId="2" fillId="0" borderId="0" xfId="0" applyFont="1" applyBorder="1"/>
    <xf numFmtId="0" fontId="8" fillId="4" borderId="0" xfId="0" applyFont="1" applyFill="1" applyBorder="1" applyAlignment="1">
      <alignment horizontal="center"/>
    </xf>
    <xf numFmtId="0" fontId="2" fillId="3" borderId="0" xfId="0" applyFont="1" applyFill="1" applyBorder="1"/>
    <xf numFmtId="0" fontId="4" fillId="3" borderId="0" xfId="0" applyFont="1" applyFill="1" applyBorder="1"/>
    <xf numFmtId="0" fontId="0" fillId="0" borderId="3" xfId="0" applyBorder="1"/>
    <xf numFmtId="0" fontId="7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 vertical="top"/>
    </xf>
    <xf numFmtId="0" fontId="2" fillId="0" borderId="7" xfId="0" applyFont="1" applyBorder="1"/>
    <xf numFmtId="0" fontId="1" fillId="3" borderId="3" xfId="0" applyFont="1" applyFill="1" applyBorder="1"/>
    <xf numFmtId="0" fontId="0" fillId="3" borderId="3" xfId="0" applyFill="1" applyBorder="1"/>
    <xf numFmtId="0" fontId="2" fillId="0" borderId="8" xfId="0" applyFont="1" applyBorder="1"/>
    <xf numFmtId="0" fontId="2" fillId="0" borderId="2" xfId="0" applyFont="1" applyBorder="1"/>
    <xf numFmtId="0" fontId="0" fillId="0" borderId="10" xfId="0" applyBorder="1"/>
    <xf numFmtId="0" fontId="7" fillId="2" borderId="6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2" fillId="3" borderId="3" xfId="0" applyFont="1" applyFill="1" applyBorder="1"/>
    <xf numFmtId="0" fontId="2" fillId="0" borderId="3" xfId="0" applyFont="1" applyBorder="1"/>
    <xf numFmtId="0" fontId="4" fillId="3" borderId="3" xfId="0" applyFont="1" applyFill="1" applyBorder="1"/>
    <xf numFmtId="0" fontId="2" fillId="0" borderId="10" xfId="0" applyFont="1" applyBorder="1"/>
    <xf numFmtId="0" fontId="5" fillId="4" borderId="7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2" fillId="5" borderId="0" xfId="0" applyFont="1" applyFill="1" applyBorder="1"/>
    <xf numFmtId="0" fontId="2" fillId="5" borderId="3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zoomScale="50" workbookViewId="0">
      <selection activeCell="G13" sqref="G13"/>
    </sheetView>
  </sheetViews>
  <sheetFormatPr defaultRowHeight="14.1" x14ac:dyDescent="0.5"/>
  <cols>
    <col min="1" max="1" width="38.68359375" style="1" customWidth="1"/>
    <col min="2" max="3" width="8.83984375" style="1"/>
    <col min="4" max="4" width="13.89453125" style="1" customWidth="1"/>
    <col min="5" max="16384" width="8.83984375" style="1"/>
  </cols>
  <sheetData>
    <row r="1" spans="1:5" ht="14.1" customHeight="1" thickTop="1" x14ac:dyDescent="0.5">
      <c r="A1" s="9" t="s">
        <v>112</v>
      </c>
      <c r="B1" s="10"/>
      <c r="C1" s="10"/>
      <c r="D1" s="10"/>
      <c r="E1" s="20"/>
    </row>
    <row r="2" spans="1:5" ht="14.1" customHeight="1" x14ac:dyDescent="0.5">
      <c r="A2" s="11"/>
      <c r="B2" s="3"/>
      <c r="C2" s="3"/>
      <c r="D2" s="3"/>
      <c r="E2" s="21"/>
    </row>
    <row r="3" spans="1:5" ht="14.1" customHeight="1" x14ac:dyDescent="0.5">
      <c r="A3" s="11"/>
      <c r="B3" s="3"/>
      <c r="C3" s="3"/>
      <c r="D3" s="3"/>
      <c r="E3" s="21"/>
    </row>
    <row r="4" spans="1:5" ht="14.1" customHeight="1" x14ac:dyDescent="0.5">
      <c r="A4" s="11"/>
      <c r="B4" s="3"/>
      <c r="C4" s="3"/>
      <c r="D4" s="3"/>
      <c r="E4" s="21"/>
    </row>
    <row r="5" spans="1:5" ht="14.1" customHeight="1" x14ac:dyDescent="0.5">
      <c r="A5" s="11"/>
      <c r="B5" s="3"/>
      <c r="C5" s="3"/>
      <c r="D5" s="3"/>
      <c r="E5" s="21"/>
    </row>
    <row r="6" spans="1:5" ht="14.1" customHeight="1" x14ac:dyDescent="0.5">
      <c r="A6" s="30" t="s">
        <v>113</v>
      </c>
      <c r="B6" s="31"/>
      <c r="C6" s="31"/>
      <c r="D6" s="31"/>
      <c r="E6" s="32"/>
    </row>
    <row r="7" spans="1:5" x14ac:dyDescent="0.5">
      <c r="A7" s="30"/>
      <c r="B7" s="31"/>
      <c r="C7" s="31"/>
      <c r="D7" s="31"/>
      <c r="E7" s="32"/>
    </row>
    <row r="8" spans="1:5" x14ac:dyDescent="0.5">
      <c r="A8" s="13" t="s">
        <v>0</v>
      </c>
      <c r="B8" s="2" t="s">
        <v>1</v>
      </c>
      <c r="C8" s="6"/>
      <c r="D8" s="33"/>
      <c r="E8" s="34"/>
    </row>
    <row r="9" spans="1:5" x14ac:dyDescent="0.5">
      <c r="A9" s="14" t="s">
        <v>2</v>
      </c>
      <c r="B9" s="4">
        <v>60000</v>
      </c>
      <c r="C9" s="4"/>
      <c r="D9" s="4"/>
      <c r="E9" s="27"/>
    </row>
    <row r="10" spans="1:5" x14ac:dyDescent="0.5">
      <c r="A10" s="14" t="s">
        <v>3</v>
      </c>
      <c r="B10" s="4">
        <v>90000</v>
      </c>
      <c r="C10" s="4"/>
      <c r="D10" s="4"/>
      <c r="E10" s="27"/>
    </row>
    <row r="11" spans="1:5" x14ac:dyDescent="0.5">
      <c r="A11" s="14" t="s">
        <v>4</v>
      </c>
      <c r="B11" s="4">
        <v>45000</v>
      </c>
      <c r="C11" s="4"/>
      <c r="D11" s="4"/>
      <c r="E11" s="27"/>
    </row>
    <row r="12" spans="1:5" x14ac:dyDescent="0.5">
      <c r="A12" s="14" t="s">
        <v>5</v>
      </c>
      <c r="B12" s="4">
        <v>70000</v>
      </c>
      <c r="C12" s="4"/>
      <c r="D12" s="4"/>
      <c r="E12" s="27"/>
    </row>
    <row r="13" spans="1:5" x14ac:dyDescent="0.5">
      <c r="A13" s="14" t="s">
        <v>6</v>
      </c>
      <c r="B13" s="4">
        <v>50000</v>
      </c>
      <c r="C13" s="4"/>
      <c r="D13" s="4"/>
      <c r="E13" s="27"/>
    </row>
    <row r="14" spans="1:5" x14ac:dyDescent="0.5">
      <c r="A14" s="14" t="s">
        <v>7</v>
      </c>
      <c r="B14" s="4">
        <v>30000</v>
      </c>
      <c r="C14" s="4"/>
      <c r="D14" s="6"/>
      <c r="E14" s="26"/>
    </row>
    <row r="15" spans="1:5" x14ac:dyDescent="0.5">
      <c r="A15" s="14" t="s">
        <v>8</v>
      </c>
      <c r="B15" s="4">
        <v>40000</v>
      </c>
      <c r="C15" s="4"/>
      <c r="D15" s="7" t="s">
        <v>109</v>
      </c>
      <c r="E15" s="28">
        <f>SUM(B9:B31)</f>
        <v>1248000</v>
      </c>
    </row>
    <row r="16" spans="1:5" x14ac:dyDescent="0.5">
      <c r="A16" s="14" t="s">
        <v>9</v>
      </c>
      <c r="B16" s="4">
        <v>30000</v>
      </c>
      <c r="C16" s="4"/>
      <c r="D16" s="7" t="s">
        <v>110</v>
      </c>
      <c r="E16" s="28">
        <f>SUM(B32:B47)</f>
        <v>-315000</v>
      </c>
    </row>
    <row r="17" spans="1:5" x14ac:dyDescent="0.5">
      <c r="A17" s="14" t="s">
        <v>10</v>
      </c>
      <c r="B17" s="4">
        <v>70000</v>
      </c>
      <c r="C17" s="4"/>
      <c r="D17" s="7" t="s">
        <v>111</v>
      </c>
      <c r="E17" s="28">
        <f>SUM(E15:E16)</f>
        <v>933000</v>
      </c>
    </row>
    <row r="18" spans="1:5" x14ac:dyDescent="0.5">
      <c r="A18" s="14" t="s">
        <v>11</v>
      </c>
      <c r="B18" s="4">
        <v>18000</v>
      </c>
      <c r="C18" s="4"/>
      <c r="D18" s="4"/>
      <c r="E18" s="27"/>
    </row>
    <row r="19" spans="1:5" x14ac:dyDescent="0.5">
      <c r="A19" s="14" t="s">
        <v>13</v>
      </c>
      <c r="B19" s="4">
        <v>18000</v>
      </c>
      <c r="C19" s="4"/>
      <c r="D19" s="4"/>
      <c r="E19" s="27"/>
    </row>
    <row r="20" spans="1:5" x14ac:dyDescent="0.5">
      <c r="A20" s="14" t="s">
        <v>14</v>
      </c>
      <c r="B20" s="4">
        <v>22000</v>
      </c>
      <c r="C20" s="4"/>
      <c r="D20" s="4"/>
      <c r="E20" s="27"/>
    </row>
    <row r="21" spans="1:5" x14ac:dyDescent="0.5">
      <c r="A21" s="14" t="s">
        <v>15</v>
      </c>
      <c r="B21" s="4">
        <v>14000</v>
      </c>
      <c r="C21" s="4"/>
      <c r="D21" s="4"/>
      <c r="E21" s="27"/>
    </row>
    <row r="22" spans="1:5" x14ac:dyDescent="0.5">
      <c r="A22" s="14" t="s">
        <v>16</v>
      </c>
      <c r="B22" s="4">
        <v>300000</v>
      </c>
      <c r="C22" s="4"/>
      <c r="D22" s="4"/>
      <c r="E22" s="27"/>
    </row>
    <row r="23" spans="1:5" x14ac:dyDescent="0.5">
      <c r="A23" s="14" t="s">
        <v>17</v>
      </c>
      <c r="B23" s="4">
        <v>100000</v>
      </c>
      <c r="C23" s="4"/>
      <c r="D23" s="4"/>
      <c r="E23" s="27"/>
    </row>
    <row r="24" spans="1:5" x14ac:dyDescent="0.5">
      <c r="A24" s="14" t="s">
        <v>18</v>
      </c>
      <c r="B24" s="4">
        <v>50000</v>
      </c>
      <c r="C24" s="4"/>
      <c r="D24" s="4"/>
      <c r="E24" s="27"/>
    </row>
    <row r="25" spans="1:5" x14ac:dyDescent="0.5">
      <c r="A25" s="14" t="s">
        <v>19</v>
      </c>
      <c r="B25" s="4">
        <v>60000</v>
      </c>
      <c r="C25" s="4"/>
      <c r="D25" s="4"/>
      <c r="E25" s="27"/>
    </row>
    <row r="26" spans="1:5" x14ac:dyDescent="0.5">
      <c r="A26" s="14" t="s">
        <v>20</v>
      </c>
      <c r="B26" s="4">
        <v>50000</v>
      </c>
      <c r="C26" s="4"/>
      <c r="D26" s="4"/>
      <c r="E26" s="27"/>
    </row>
    <row r="27" spans="1:5" x14ac:dyDescent="0.5">
      <c r="A27" s="14" t="s">
        <v>21</v>
      </c>
      <c r="B27" s="4">
        <v>20000</v>
      </c>
      <c r="C27" s="4"/>
      <c r="D27" s="4"/>
      <c r="E27" s="27"/>
    </row>
    <row r="28" spans="1:5" x14ac:dyDescent="0.5">
      <c r="A28" s="14" t="s">
        <v>22</v>
      </c>
      <c r="B28" s="4">
        <v>30000</v>
      </c>
      <c r="C28" s="4"/>
      <c r="D28" s="4"/>
      <c r="E28" s="27"/>
    </row>
    <row r="29" spans="1:5" x14ac:dyDescent="0.5">
      <c r="A29" s="14" t="s">
        <v>23</v>
      </c>
      <c r="B29" s="4">
        <v>15000</v>
      </c>
      <c r="C29" s="4"/>
      <c r="D29" s="4"/>
      <c r="E29" s="27"/>
    </row>
    <row r="30" spans="1:5" x14ac:dyDescent="0.5">
      <c r="A30" s="14" t="s">
        <v>24</v>
      </c>
      <c r="B30" s="4">
        <v>40000</v>
      </c>
      <c r="C30" s="4"/>
      <c r="D30" s="4"/>
      <c r="E30" s="27"/>
    </row>
    <row r="31" spans="1:5" x14ac:dyDescent="0.5">
      <c r="A31" s="14" t="s">
        <v>25</v>
      </c>
      <c r="B31" s="4">
        <v>26000</v>
      </c>
      <c r="C31" s="4"/>
      <c r="D31" s="4"/>
      <c r="E31" s="27"/>
    </row>
    <row r="32" spans="1:5" x14ac:dyDescent="0.5">
      <c r="A32" s="14" t="s">
        <v>26</v>
      </c>
      <c r="B32" s="4">
        <v>-80000</v>
      </c>
      <c r="C32" s="4"/>
      <c r="D32" s="4"/>
      <c r="E32" s="27"/>
    </row>
    <row r="33" spans="1:5" x14ac:dyDescent="0.5">
      <c r="A33" s="14" t="s">
        <v>27</v>
      </c>
      <c r="B33" s="4">
        <v>-40000</v>
      </c>
      <c r="C33" s="4"/>
      <c r="D33" s="4"/>
      <c r="E33" s="27"/>
    </row>
    <row r="34" spans="1:5" x14ac:dyDescent="0.5">
      <c r="A34" s="14" t="s">
        <v>28</v>
      </c>
      <c r="B34" s="4">
        <v>-30000</v>
      </c>
      <c r="C34" s="4"/>
      <c r="D34" s="4"/>
      <c r="E34" s="27"/>
    </row>
    <row r="35" spans="1:5" x14ac:dyDescent="0.5">
      <c r="A35" s="14" t="s">
        <v>29</v>
      </c>
      <c r="B35" s="4">
        <v>-5000</v>
      </c>
      <c r="C35" s="4"/>
      <c r="D35" s="4"/>
      <c r="E35" s="27"/>
    </row>
    <row r="36" spans="1:5" x14ac:dyDescent="0.5">
      <c r="A36" s="14" t="s">
        <v>30</v>
      </c>
      <c r="B36" s="4">
        <v>-10000</v>
      </c>
      <c r="C36" s="4"/>
      <c r="D36" s="4"/>
      <c r="E36" s="27"/>
    </row>
    <row r="37" spans="1:5" x14ac:dyDescent="0.5">
      <c r="A37" s="14" t="s">
        <v>31</v>
      </c>
      <c r="B37" s="4">
        <v>-30000</v>
      </c>
      <c r="C37" s="4"/>
      <c r="D37" s="4"/>
      <c r="E37" s="27"/>
    </row>
    <row r="38" spans="1:5" x14ac:dyDescent="0.5">
      <c r="A38" s="14" t="s">
        <v>32</v>
      </c>
      <c r="B38" s="4">
        <v>-12000</v>
      </c>
      <c r="C38" s="4"/>
      <c r="D38" s="4"/>
      <c r="E38" s="27"/>
    </row>
    <row r="39" spans="1:5" x14ac:dyDescent="0.5">
      <c r="A39" s="14" t="s">
        <v>33</v>
      </c>
      <c r="B39" s="4">
        <v>-8000</v>
      </c>
      <c r="C39" s="4"/>
      <c r="D39" s="4"/>
      <c r="E39" s="27"/>
    </row>
    <row r="40" spans="1:5" x14ac:dyDescent="0.5">
      <c r="A40" s="14" t="s">
        <v>34</v>
      </c>
      <c r="B40" s="4">
        <v>-6000</v>
      </c>
      <c r="C40" s="4"/>
      <c r="D40" s="4"/>
      <c r="E40" s="27"/>
    </row>
    <row r="41" spans="1:5" x14ac:dyDescent="0.5">
      <c r="A41" s="14" t="s">
        <v>35</v>
      </c>
      <c r="B41" s="4">
        <v>-4000</v>
      </c>
      <c r="C41" s="4"/>
      <c r="D41" s="4"/>
      <c r="E41" s="27"/>
    </row>
    <row r="42" spans="1:5" x14ac:dyDescent="0.5">
      <c r="A42" s="14" t="s">
        <v>36</v>
      </c>
      <c r="B42" s="4">
        <v>-3000</v>
      </c>
      <c r="C42" s="4"/>
      <c r="D42" s="4"/>
      <c r="E42" s="27"/>
    </row>
    <row r="43" spans="1:5" x14ac:dyDescent="0.5">
      <c r="A43" s="14" t="s">
        <v>37</v>
      </c>
      <c r="B43" s="4">
        <v>-15000</v>
      </c>
      <c r="C43" s="4"/>
      <c r="D43" s="4"/>
      <c r="E43" s="27"/>
    </row>
    <row r="44" spans="1:5" x14ac:dyDescent="0.5">
      <c r="A44" s="14" t="s">
        <v>38</v>
      </c>
      <c r="B44" s="4">
        <v>-25000</v>
      </c>
      <c r="C44" s="4"/>
      <c r="D44" s="4"/>
      <c r="E44" s="27"/>
    </row>
    <row r="45" spans="1:5" x14ac:dyDescent="0.5">
      <c r="A45" s="14" t="s">
        <v>39</v>
      </c>
      <c r="B45" s="4">
        <v>-20000</v>
      </c>
      <c r="C45" s="4"/>
      <c r="D45" s="4"/>
      <c r="E45" s="27"/>
    </row>
    <row r="46" spans="1:5" x14ac:dyDescent="0.5">
      <c r="A46" s="14" t="s">
        <v>12</v>
      </c>
      <c r="B46" s="4">
        <v>-22000</v>
      </c>
      <c r="C46" s="4"/>
      <c r="D46" s="4"/>
      <c r="E46" s="27"/>
    </row>
    <row r="47" spans="1:5" ht="14.4" thickBot="1" x14ac:dyDescent="0.55000000000000004">
      <c r="A47" s="17" t="s">
        <v>40</v>
      </c>
      <c r="B47" s="18">
        <v>-5000</v>
      </c>
      <c r="C47" s="18"/>
      <c r="D47" s="18"/>
      <c r="E47" s="29"/>
    </row>
    <row r="48" spans="1:5" ht="14.4" thickTop="1" x14ac:dyDescent="0.5"/>
  </sheetData>
  <mergeCells count="2">
    <mergeCell ref="A1:E5"/>
    <mergeCell ref="A6:E7"/>
  </mergeCells>
  <pageMargins left="0.75" right="0.75" top="1" bottom="1" header="0.5" footer="0.5"/>
  <pageSetup paperSize="2833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zoomScale="55" workbookViewId="0">
      <selection sqref="A1:E5"/>
    </sheetView>
  </sheetViews>
  <sheetFormatPr defaultRowHeight="14.4" x14ac:dyDescent="0.55000000000000004"/>
  <cols>
    <col min="1" max="1" width="35.3125" customWidth="1"/>
    <col min="4" max="4" width="13.3671875" customWidth="1"/>
  </cols>
  <sheetData>
    <row r="1" spans="1:5" ht="14.7" thickTop="1" x14ac:dyDescent="0.55000000000000004">
      <c r="A1" s="9" t="s">
        <v>112</v>
      </c>
      <c r="B1" s="10"/>
      <c r="C1" s="10"/>
      <c r="D1" s="10"/>
      <c r="E1" s="20"/>
    </row>
    <row r="2" spans="1:5" x14ac:dyDescent="0.55000000000000004">
      <c r="A2" s="11"/>
      <c r="B2" s="3"/>
      <c r="C2" s="3"/>
      <c r="D2" s="3"/>
      <c r="E2" s="21"/>
    </row>
    <row r="3" spans="1:5" x14ac:dyDescent="0.55000000000000004">
      <c r="A3" s="11"/>
      <c r="B3" s="3"/>
      <c r="C3" s="3"/>
      <c r="D3" s="3"/>
      <c r="E3" s="21"/>
    </row>
    <row r="4" spans="1:5" x14ac:dyDescent="0.55000000000000004">
      <c r="A4" s="11"/>
      <c r="B4" s="3"/>
      <c r="C4" s="3"/>
      <c r="D4" s="3"/>
      <c r="E4" s="21"/>
    </row>
    <row r="5" spans="1:5" x14ac:dyDescent="0.55000000000000004">
      <c r="A5" s="11"/>
      <c r="B5" s="3"/>
      <c r="C5" s="3"/>
      <c r="D5" s="3"/>
      <c r="E5" s="21"/>
    </row>
    <row r="6" spans="1:5" x14ac:dyDescent="0.55000000000000004">
      <c r="A6" s="23" t="s">
        <v>117</v>
      </c>
      <c r="B6" s="24"/>
      <c r="C6" s="24"/>
      <c r="D6" s="24"/>
      <c r="E6" s="25"/>
    </row>
    <row r="7" spans="1:5" x14ac:dyDescent="0.55000000000000004">
      <c r="A7" s="23"/>
      <c r="B7" s="24"/>
      <c r="C7" s="24"/>
      <c r="D7" s="24"/>
      <c r="E7" s="25"/>
    </row>
    <row r="8" spans="1:5" x14ac:dyDescent="0.55000000000000004">
      <c r="A8" s="13" t="s">
        <v>41</v>
      </c>
      <c r="B8" s="2" t="s">
        <v>1</v>
      </c>
      <c r="C8" s="6"/>
      <c r="D8" s="6"/>
      <c r="E8" s="26"/>
    </row>
    <row r="9" spans="1:5" x14ac:dyDescent="0.55000000000000004">
      <c r="A9" s="14" t="s">
        <v>42</v>
      </c>
      <c r="B9" s="4">
        <v>60000</v>
      </c>
      <c r="C9" s="4"/>
      <c r="D9" s="4"/>
      <c r="E9" s="27"/>
    </row>
    <row r="10" spans="1:5" x14ac:dyDescent="0.55000000000000004">
      <c r="A10" s="14" t="s">
        <v>43</v>
      </c>
      <c r="B10" s="4">
        <v>90000</v>
      </c>
      <c r="C10" s="4"/>
      <c r="D10" s="4"/>
      <c r="E10" s="27"/>
    </row>
    <row r="11" spans="1:5" x14ac:dyDescent="0.55000000000000004">
      <c r="A11" s="14" t="s">
        <v>44</v>
      </c>
      <c r="B11" s="4">
        <v>45000</v>
      </c>
      <c r="C11" s="4"/>
      <c r="D11" s="4"/>
      <c r="E11" s="27"/>
    </row>
    <row r="12" spans="1:5" x14ac:dyDescent="0.55000000000000004">
      <c r="A12" s="14" t="s">
        <v>45</v>
      </c>
      <c r="B12" s="4">
        <v>70000</v>
      </c>
      <c r="C12" s="4"/>
      <c r="D12" s="4"/>
      <c r="E12" s="27"/>
    </row>
    <row r="13" spans="1:5" x14ac:dyDescent="0.55000000000000004">
      <c r="A13" s="14" t="s">
        <v>46</v>
      </c>
      <c r="B13" s="4">
        <v>50000</v>
      </c>
      <c r="C13" s="4"/>
      <c r="D13" s="7" t="s">
        <v>114</v>
      </c>
      <c r="E13" s="28">
        <f>SUM(B9:B26)</f>
        <v>757000</v>
      </c>
    </row>
    <row r="14" spans="1:5" x14ac:dyDescent="0.55000000000000004">
      <c r="A14" s="14" t="s">
        <v>47</v>
      </c>
      <c r="B14" s="4">
        <v>30000</v>
      </c>
      <c r="C14" s="4"/>
      <c r="D14" s="7" t="s">
        <v>115</v>
      </c>
      <c r="E14" s="28">
        <f>SUM(B27:B42)</f>
        <v>-315000</v>
      </c>
    </row>
    <row r="15" spans="1:5" x14ac:dyDescent="0.55000000000000004">
      <c r="A15" s="14" t="s">
        <v>48</v>
      </c>
      <c r="B15" s="4">
        <v>40000</v>
      </c>
      <c r="C15" s="4"/>
      <c r="D15" s="7" t="s">
        <v>116</v>
      </c>
      <c r="E15" s="28">
        <f>SUM(E13:E14)</f>
        <v>442000</v>
      </c>
    </row>
    <row r="16" spans="1:5" x14ac:dyDescent="0.55000000000000004">
      <c r="A16" s="14" t="s">
        <v>49</v>
      </c>
      <c r="B16" s="4">
        <v>30000</v>
      </c>
      <c r="C16" s="4"/>
      <c r="D16" s="4"/>
      <c r="E16" s="27"/>
    </row>
    <row r="17" spans="1:5" x14ac:dyDescent="0.55000000000000004">
      <c r="A17" s="14" t="s">
        <v>10</v>
      </c>
      <c r="B17" s="4">
        <v>70000</v>
      </c>
      <c r="C17" s="4"/>
      <c r="D17" s="4"/>
      <c r="E17" s="27"/>
    </row>
    <row r="18" spans="1:5" x14ac:dyDescent="0.55000000000000004">
      <c r="A18" s="14" t="s">
        <v>11</v>
      </c>
      <c r="B18" s="4">
        <v>18000</v>
      </c>
      <c r="C18" s="4"/>
      <c r="D18" s="4"/>
      <c r="E18" s="27"/>
    </row>
    <row r="19" spans="1:5" x14ac:dyDescent="0.55000000000000004">
      <c r="A19" s="14" t="s">
        <v>13</v>
      </c>
      <c r="B19" s="4">
        <v>18000</v>
      </c>
      <c r="C19" s="4"/>
      <c r="D19" s="4"/>
      <c r="E19" s="27"/>
    </row>
    <row r="20" spans="1:5" x14ac:dyDescent="0.55000000000000004">
      <c r="A20" s="14" t="s">
        <v>14</v>
      </c>
      <c r="B20" s="4">
        <v>22000</v>
      </c>
      <c r="C20" s="4"/>
      <c r="D20" s="4"/>
      <c r="E20" s="27"/>
    </row>
    <row r="21" spans="1:5" x14ac:dyDescent="0.55000000000000004">
      <c r="A21" s="14" t="s">
        <v>15</v>
      </c>
      <c r="B21" s="4">
        <v>14000</v>
      </c>
      <c r="C21" s="4"/>
      <c r="D21" s="4"/>
      <c r="E21" s="27"/>
    </row>
    <row r="22" spans="1:5" x14ac:dyDescent="0.55000000000000004">
      <c r="A22" s="14" t="s">
        <v>24</v>
      </c>
      <c r="B22" s="4">
        <v>100000</v>
      </c>
      <c r="C22" s="4"/>
      <c r="D22" s="4"/>
      <c r="E22" s="27"/>
    </row>
    <row r="23" spans="1:5" x14ac:dyDescent="0.55000000000000004">
      <c r="A23" s="14" t="s">
        <v>21</v>
      </c>
      <c r="B23" s="4">
        <v>20000</v>
      </c>
      <c r="C23" s="4"/>
      <c r="D23" s="4"/>
      <c r="E23" s="27"/>
    </row>
    <row r="24" spans="1:5" x14ac:dyDescent="0.55000000000000004">
      <c r="A24" s="14" t="s">
        <v>22</v>
      </c>
      <c r="B24" s="4">
        <v>25000</v>
      </c>
      <c r="C24" s="4"/>
      <c r="D24" s="4"/>
      <c r="E24" s="27"/>
    </row>
    <row r="25" spans="1:5" x14ac:dyDescent="0.55000000000000004">
      <c r="A25" s="14" t="s">
        <v>23</v>
      </c>
      <c r="B25" s="4">
        <v>15000</v>
      </c>
      <c r="C25" s="4"/>
      <c r="D25" s="4"/>
      <c r="E25" s="27"/>
    </row>
    <row r="26" spans="1:5" x14ac:dyDescent="0.55000000000000004">
      <c r="A26" s="14" t="s">
        <v>25</v>
      </c>
      <c r="B26" s="4">
        <v>40000</v>
      </c>
      <c r="C26" s="4"/>
      <c r="D26" s="4"/>
      <c r="E26" s="27"/>
    </row>
    <row r="27" spans="1:5" x14ac:dyDescent="0.55000000000000004">
      <c r="A27" s="14" t="s">
        <v>26</v>
      </c>
      <c r="B27" s="4">
        <v>-80000</v>
      </c>
      <c r="C27" s="4"/>
      <c r="D27" s="4"/>
      <c r="E27" s="27"/>
    </row>
    <row r="28" spans="1:5" x14ac:dyDescent="0.55000000000000004">
      <c r="A28" s="14" t="s">
        <v>27</v>
      </c>
      <c r="B28" s="4">
        <v>-40000</v>
      </c>
      <c r="C28" s="4"/>
      <c r="D28" s="4"/>
      <c r="E28" s="27"/>
    </row>
    <row r="29" spans="1:5" x14ac:dyDescent="0.55000000000000004">
      <c r="A29" s="14" t="s">
        <v>28</v>
      </c>
      <c r="B29" s="4">
        <v>-30000</v>
      </c>
      <c r="C29" s="4"/>
      <c r="D29" s="4"/>
      <c r="E29" s="27"/>
    </row>
    <row r="30" spans="1:5" x14ac:dyDescent="0.55000000000000004">
      <c r="A30" s="14" t="s">
        <v>29</v>
      </c>
      <c r="B30" s="4">
        <v>-5000</v>
      </c>
      <c r="C30" s="4"/>
      <c r="D30" s="4"/>
      <c r="E30" s="27"/>
    </row>
    <row r="31" spans="1:5" x14ac:dyDescent="0.55000000000000004">
      <c r="A31" s="14" t="s">
        <v>30</v>
      </c>
      <c r="B31" s="4">
        <v>-10000</v>
      </c>
      <c r="C31" s="4"/>
      <c r="D31" s="4"/>
      <c r="E31" s="27"/>
    </row>
    <row r="32" spans="1:5" x14ac:dyDescent="0.55000000000000004">
      <c r="A32" s="14" t="s">
        <v>31</v>
      </c>
      <c r="B32" s="4">
        <v>-30000</v>
      </c>
      <c r="C32" s="4"/>
      <c r="D32" s="4"/>
      <c r="E32" s="27"/>
    </row>
    <row r="33" spans="1:5" x14ac:dyDescent="0.55000000000000004">
      <c r="A33" s="14" t="s">
        <v>32</v>
      </c>
      <c r="B33" s="4">
        <v>-12000</v>
      </c>
      <c r="C33" s="4"/>
      <c r="D33" s="4"/>
      <c r="E33" s="27"/>
    </row>
    <row r="34" spans="1:5" x14ac:dyDescent="0.55000000000000004">
      <c r="A34" s="14" t="s">
        <v>33</v>
      </c>
      <c r="B34" s="4">
        <v>-8000</v>
      </c>
      <c r="C34" s="4"/>
      <c r="D34" s="4"/>
      <c r="E34" s="27"/>
    </row>
    <row r="35" spans="1:5" x14ac:dyDescent="0.55000000000000004">
      <c r="A35" s="14" t="s">
        <v>34</v>
      </c>
      <c r="B35" s="4">
        <v>-6000</v>
      </c>
      <c r="C35" s="4"/>
      <c r="D35" s="4"/>
      <c r="E35" s="27"/>
    </row>
    <row r="36" spans="1:5" x14ac:dyDescent="0.55000000000000004">
      <c r="A36" s="14" t="s">
        <v>35</v>
      </c>
      <c r="B36" s="4">
        <v>-4000</v>
      </c>
      <c r="C36" s="4"/>
      <c r="D36" s="4"/>
      <c r="E36" s="27"/>
    </row>
    <row r="37" spans="1:5" x14ac:dyDescent="0.55000000000000004">
      <c r="A37" s="14" t="s">
        <v>36</v>
      </c>
      <c r="B37" s="4">
        <v>-3000</v>
      </c>
      <c r="C37" s="4"/>
      <c r="D37" s="4"/>
      <c r="E37" s="27"/>
    </row>
    <row r="38" spans="1:5" x14ac:dyDescent="0.55000000000000004">
      <c r="A38" s="14" t="s">
        <v>37</v>
      </c>
      <c r="B38" s="4">
        <v>-15000</v>
      </c>
      <c r="C38" s="4"/>
      <c r="D38" s="4"/>
      <c r="E38" s="27"/>
    </row>
    <row r="39" spans="1:5" x14ac:dyDescent="0.55000000000000004">
      <c r="A39" s="14" t="s">
        <v>38</v>
      </c>
      <c r="B39" s="4">
        <v>-25000</v>
      </c>
      <c r="C39" s="4"/>
      <c r="D39" s="4"/>
      <c r="E39" s="27"/>
    </row>
    <row r="40" spans="1:5" x14ac:dyDescent="0.55000000000000004">
      <c r="A40" s="14" t="s">
        <v>39</v>
      </c>
      <c r="B40" s="4">
        <v>-20000</v>
      </c>
      <c r="C40" s="4"/>
      <c r="D40" s="4"/>
      <c r="E40" s="27"/>
    </row>
    <row r="41" spans="1:5" x14ac:dyDescent="0.55000000000000004">
      <c r="A41" s="14" t="s">
        <v>12</v>
      </c>
      <c r="B41" s="4">
        <v>-22000</v>
      </c>
      <c r="C41" s="4"/>
      <c r="D41" s="4"/>
      <c r="E41" s="27"/>
    </row>
    <row r="42" spans="1:5" ht="14.7" thickBot="1" x14ac:dyDescent="0.6">
      <c r="A42" s="17" t="s">
        <v>40</v>
      </c>
      <c r="B42" s="18">
        <v>-5000</v>
      </c>
      <c r="C42" s="18"/>
      <c r="D42" s="18"/>
      <c r="E42" s="29"/>
    </row>
    <row r="43" spans="1:5" ht="14.7" thickTop="1" x14ac:dyDescent="0.55000000000000004"/>
  </sheetData>
  <mergeCells count="2">
    <mergeCell ref="A1:E5"/>
    <mergeCell ref="A6:E7"/>
  </mergeCells>
  <conditionalFormatting sqref="D13:E15">
    <cfRule type="duplicateValues" dxfId="0" priority="1"/>
  </conditionalFormatting>
  <pageMargins left="0.75" right="0.75" top="1" bottom="1" header="0.5" footer="0.5"/>
  <pageSetup paperSize="2833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abSelected="1" zoomScale="67" workbookViewId="0">
      <selection activeCell="M22" sqref="M22"/>
    </sheetView>
  </sheetViews>
  <sheetFormatPr defaultRowHeight="14.4" x14ac:dyDescent="0.55000000000000004"/>
  <cols>
    <col min="1" max="1" width="45.89453125" customWidth="1"/>
    <col min="2" max="2" width="11.89453125" customWidth="1"/>
    <col min="3" max="3" width="28.20703125" customWidth="1"/>
    <col min="6" max="6" width="11.9453125" customWidth="1"/>
  </cols>
  <sheetData>
    <row r="1" spans="1:9" ht="14.4" customHeight="1" thickTop="1" x14ac:dyDescent="0.55000000000000004">
      <c r="A1" s="9" t="s">
        <v>112</v>
      </c>
      <c r="B1" s="10"/>
      <c r="C1" s="10"/>
      <c r="D1" s="10"/>
      <c r="E1" s="10"/>
      <c r="F1" s="10"/>
      <c r="G1" s="10"/>
      <c r="H1" s="10"/>
      <c r="I1" s="20"/>
    </row>
    <row r="2" spans="1:9" ht="14.4" customHeight="1" x14ac:dyDescent="0.55000000000000004">
      <c r="A2" s="11"/>
      <c r="B2" s="3"/>
      <c r="C2" s="3"/>
      <c r="D2" s="3"/>
      <c r="E2" s="3"/>
      <c r="F2" s="3"/>
      <c r="G2" s="3"/>
      <c r="H2" s="3"/>
      <c r="I2" s="21"/>
    </row>
    <row r="3" spans="1:9" ht="14.4" customHeight="1" x14ac:dyDescent="0.55000000000000004">
      <c r="A3" s="11"/>
      <c r="B3" s="3"/>
      <c r="C3" s="3"/>
      <c r="D3" s="3"/>
      <c r="E3" s="3"/>
      <c r="F3" s="3"/>
      <c r="G3" s="3"/>
      <c r="H3" s="3"/>
      <c r="I3" s="21"/>
    </row>
    <row r="4" spans="1:9" ht="14.4" customHeight="1" x14ac:dyDescent="0.55000000000000004">
      <c r="A4" s="11"/>
      <c r="B4" s="3"/>
      <c r="C4" s="3"/>
      <c r="D4" s="3"/>
      <c r="E4" s="3"/>
      <c r="F4" s="3"/>
      <c r="G4" s="3"/>
      <c r="H4" s="3"/>
      <c r="I4" s="21"/>
    </row>
    <row r="5" spans="1:9" ht="14.4" customHeight="1" x14ac:dyDescent="0.55000000000000004">
      <c r="A5" s="11"/>
      <c r="B5" s="3"/>
      <c r="C5" s="3"/>
      <c r="D5" s="3"/>
      <c r="E5" s="3"/>
      <c r="F5" s="3"/>
      <c r="G5" s="3"/>
      <c r="H5" s="3"/>
      <c r="I5" s="21"/>
    </row>
    <row r="6" spans="1:9" ht="14.4" customHeight="1" x14ac:dyDescent="0.55000000000000004">
      <c r="A6" s="12" t="s">
        <v>121</v>
      </c>
      <c r="B6" s="5"/>
      <c r="C6" s="5"/>
      <c r="D6" s="5"/>
      <c r="E6" s="5"/>
      <c r="F6" s="5"/>
      <c r="G6" s="5"/>
      <c r="H6" s="5"/>
      <c r="I6" s="22"/>
    </row>
    <row r="7" spans="1:9" ht="14.4" customHeight="1" x14ac:dyDescent="0.55000000000000004">
      <c r="A7" s="12"/>
      <c r="B7" s="5"/>
      <c r="C7" s="5"/>
      <c r="D7" s="5"/>
      <c r="E7" s="5"/>
      <c r="F7" s="5"/>
      <c r="G7" s="5"/>
      <c r="H7" s="5"/>
      <c r="I7" s="22"/>
    </row>
    <row r="8" spans="1:9" ht="14.4" customHeight="1" x14ac:dyDescent="0.55000000000000004">
      <c r="A8" s="13" t="s">
        <v>50</v>
      </c>
      <c r="B8" s="2" t="s">
        <v>51</v>
      </c>
      <c r="C8" s="2" t="s">
        <v>52</v>
      </c>
      <c r="D8" s="2" t="s">
        <v>53</v>
      </c>
      <c r="E8" s="6"/>
      <c r="F8" s="6"/>
      <c r="G8" s="6"/>
      <c r="H8" s="6"/>
      <c r="I8" s="16"/>
    </row>
    <row r="9" spans="1:9" ht="14.4" customHeight="1" x14ac:dyDescent="0.55000000000000004">
      <c r="A9" s="14" t="s">
        <v>54</v>
      </c>
      <c r="B9" s="4">
        <v>200000</v>
      </c>
      <c r="C9" s="4" t="s">
        <v>55</v>
      </c>
      <c r="D9" s="4">
        <v>211900</v>
      </c>
      <c r="E9" s="4"/>
      <c r="F9" s="4"/>
      <c r="G9" s="4"/>
      <c r="H9" s="4"/>
      <c r="I9" s="8"/>
    </row>
    <row r="10" spans="1:9" ht="14.4" customHeight="1" x14ac:dyDescent="0.55000000000000004">
      <c r="A10" s="14" t="s">
        <v>56</v>
      </c>
      <c r="B10" s="4">
        <v>50000</v>
      </c>
      <c r="C10" s="4" t="s">
        <v>57</v>
      </c>
      <c r="D10" s="4">
        <v>100000</v>
      </c>
      <c r="E10" s="4"/>
      <c r="F10" s="4"/>
      <c r="G10" s="4"/>
      <c r="H10" s="4"/>
      <c r="I10" s="8"/>
    </row>
    <row r="11" spans="1:9" ht="14.4" customHeight="1" x14ac:dyDescent="0.55000000000000004">
      <c r="A11" s="14" t="s">
        <v>59</v>
      </c>
      <c r="B11" s="4">
        <v>15000</v>
      </c>
      <c r="C11" s="4" t="s">
        <v>58</v>
      </c>
      <c r="D11" s="4">
        <v>-50000</v>
      </c>
      <c r="E11" s="4"/>
      <c r="F11" s="4"/>
      <c r="G11" s="4"/>
      <c r="H11" s="4"/>
      <c r="I11" s="8"/>
    </row>
    <row r="12" spans="1:9" ht="14.4" customHeight="1" x14ac:dyDescent="0.55000000000000004">
      <c r="A12" s="14" t="s">
        <v>105</v>
      </c>
      <c r="B12" s="4">
        <v>25000</v>
      </c>
      <c r="C12" s="4" t="s">
        <v>60</v>
      </c>
      <c r="D12" s="4">
        <v>40000</v>
      </c>
      <c r="E12" s="4"/>
      <c r="F12" s="7" t="s">
        <v>118</v>
      </c>
      <c r="G12" s="7" t="s">
        <v>120</v>
      </c>
      <c r="H12" s="7" t="s">
        <v>119</v>
      </c>
      <c r="I12" s="15"/>
    </row>
    <row r="13" spans="1:9" ht="14.4" customHeight="1" x14ac:dyDescent="0.55000000000000004">
      <c r="A13" s="14" t="s">
        <v>107</v>
      </c>
      <c r="B13" s="4">
        <v>18000</v>
      </c>
      <c r="C13" s="4" t="s">
        <v>61</v>
      </c>
      <c r="D13" s="4">
        <v>30000</v>
      </c>
      <c r="E13" s="4"/>
      <c r="F13" s="7">
        <f>SUM(B9:B34)</f>
        <v>1020000</v>
      </c>
      <c r="G13" s="7"/>
      <c r="H13" s="7">
        <f>SUM(D9:D37)</f>
        <v>1020000</v>
      </c>
      <c r="I13" s="16"/>
    </row>
    <row r="14" spans="1:9" ht="14.4" customHeight="1" x14ac:dyDescent="0.55000000000000004">
      <c r="A14" s="14" t="s">
        <v>62</v>
      </c>
      <c r="B14" s="4">
        <v>120000</v>
      </c>
      <c r="C14" s="4" t="s">
        <v>63</v>
      </c>
      <c r="D14" s="4">
        <v>15000</v>
      </c>
      <c r="E14" s="4"/>
      <c r="F14" s="4"/>
      <c r="G14" s="4"/>
      <c r="H14" s="4"/>
      <c r="I14" s="8"/>
    </row>
    <row r="15" spans="1:9" ht="14.4" customHeight="1" x14ac:dyDescent="0.55000000000000004">
      <c r="A15" s="14" t="s">
        <v>64</v>
      </c>
      <c r="B15" s="4">
        <v>60000</v>
      </c>
      <c r="C15" s="4" t="s">
        <v>65</v>
      </c>
      <c r="D15" s="4">
        <v>10000</v>
      </c>
      <c r="E15" s="4"/>
      <c r="F15" s="4"/>
      <c r="G15" s="4"/>
      <c r="H15" s="4"/>
      <c r="I15" s="8"/>
    </row>
    <row r="16" spans="1:9" ht="14.4" customHeight="1" x14ac:dyDescent="0.55000000000000004">
      <c r="A16" s="14" t="s">
        <v>66</v>
      </c>
      <c r="B16" s="4">
        <v>20000</v>
      </c>
      <c r="C16" s="4" t="s">
        <v>67</v>
      </c>
      <c r="D16" s="4">
        <v>12000</v>
      </c>
      <c r="E16" s="4"/>
      <c r="F16" s="4"/>
      <c r="G16" s="4"/>
      <c r="H16" s="4"/>
      <c r="I16" s="8"/>
    </row>
    <row r="17" spans="1:9" ht="14.4" customHeight="1" x14ac:dyDescent="0.55000000000000004">
      <c r="A17" s="14" t="s">
        <v>104</v>
      </c>
      <c r="B17" s="4">
        <v>20000</v>
      </c>
      <c r="C17" s="4" t="s">
        <v>68</v>
      </c>
      <c r="D17" s="4">
        <v>80000</v>
      </c>
      <c r="E17" s="4"/>
      <c r="F17" s="4"/>
      <c r="G17" s="4"/>
      <c r="H17" s="4"/>
      <c r="I17" s="8"/>
    </row>
    <row r="18" spans="1:9" ht="14.4" customHeight="1" x14ac:dyDescent="0.55000000000000004">
      <c r="A18" s="14" t="s">
        <v>69</v>
      </c>
      <c r="B18" s="4">
        <v>180000</v>
      </c>
      <c r="C18" s="4" t="s">
        <v>70</v>
      </c>
      <c r="D18" s="4">
        <v>50000</v>
      </c>
      <c r="E18" s="4"/>
      <c r="F18" s="4"/>
      <c r="G18" s="4"/>
      <c r="H18" s="4"/>
      <c r="I18" s="8"/>
    </row>
    <row r="19" spans="1:9" ht="14.4" customHeight="1" x14ac:dyDescent="0.55000000000000004">
      <c r="A19" s="14" t="s">
        <v>71</v>
      </c>
      <c r="B19" s="4">
        <v>90000</v>
      </c>
      <c r="C19" s="4" t="s">
        <v>72</v>
      </c>
      <c r="D19" s="4">
        <v>10000</v>
      </c>
      <c r="E19" s="4"/>
      <c r="F19" s="4"/>
      <c r="G19" s="4"/>
      <c r="H19" s="4"/>
      <c r="I19" s="8"/>
    </row>
    <row r="20" spans="1:9" ht="14.4" customHeight="1" x14ac:dyDescent="0.55000000000000004">
      <c r="A20" s="14" t="s">
        <v>73</v>
      </c>
      <c r="B20" s="4">
        <v>15000</v>
      </c>
      <c r="C20" s="4" t="s">
        <v>74</v>
      </c>
      <c r="D20" s="4">
        <v>70000</v>
      </c>
      <c r="E20" s="4"/>
      <c r="F20" s="4"/>
      <c r="G20" s="4"/>
      <c r="H20" s="4"/>
      <c r="I20" s="8"/>
    </row>
    <row r="21" spans="1:9" ht="14.4" customHeight="1" x14ac:dyDescent="0.55000000000000004">
      <c r="A21" s="14" t="s">
        <v>75</v>
      </c>
      <c r="B21" s="4">
        <v>25000</v>
      </c>
      <c r="C21" s="4" t="s">
        <v>76</v>
      </c>
      <c r="D21" s="4">
        <v>6000</v>
      </c>
      <c r="E21" s="4"/>
      <c r="F21" s="4"/>
      <c r="G21" s="4"/>
      <c r="H21" s="4"/>
      <c r="I21" s="8"/>
    </row>
    <row r="22" spans="1:9" ht="14.4" customHeight="1" x14ac:dyDescent="0.55000000000000004">
      <c r="A22" s="14" t="s">
        <v>77</v>
      </c>
      <c r="B22" s="4">
        <v>20000</v>
      </c>
      <c r="C22" s="4" t="s">
        <v>78</v>
      </c>
      <c r="D22" s="4">
        <v>8000</v>
      </c>
      <c r="E22" s="4"/>
      <c r="F22" s="4"/>
      <c r="G22" s="4"/>
      <c r="H22" s="4"/>
      <c r="I22" s="8"/>
    </row>
    <row r="23" spans="1:9" ht="14.4" customHeight="1" x14ac:dyDescent="0.55000000000000004">
      <c r="A23" s="14" t="s">
        <v>79</v>
      </c>
      <c r="B23" s="4">
        <v>10000</v>
      </c>
      <c r="C23" s="4" t="s">
        <v>80</v>
      </c>
      <c r="D23" s="4">
        <v>7000</v>
      </c>
      <c r="E23" s="4"/>
      <c r="F23" s="4"/>
      <c r="G23" s="4"/>
      <c r="H23" s="4"/>
      <c r="I23" s="8"/>
    </row>
    <row r="24" spans="1:9" ht="14.4" customHeight="1" x14ac:dyDescent="0.55000000000000004">
      <c r="A24" s="14" t="s">
        <v>81</v>
      </c>
      <c r="B24" s="4">
        <v>12000</v>
      </c>
      <c r="C24" s="4" t="s">
        <v>82</v>
      </c>
      <c r="D24" s="4">
        <v>5000</v>
      </c>
      <c r="E24" s="4"/>
      <c r="F24" s="4"/>
      <c r="G24" s="4"/>
      <c r="H24" s="4"/>
      <c r="I24" s="8"/>
    </row>
    <row r="25" spans="1:9" ht="14.4" customHeight="1" x14ac:dyDescent="0.55000000000000004">
      <c r="A25" s="14" t="s">
        <v>83</v>
      </c>
      <c r="B25" s="4">
        <v>30000</v>
      </c>
      <c r="C25" s="4" t="s">
        <v>84</v>
      </c>
      <c r="D25" s="4">
        <v>4000</v>
      </c>
      <c r="E25" s="4"/>
      <c r="F25" s="4"/>
      <c r="G25" s="4"/>
      <c r="H25" s="4"/>
      <c r="I25" s="8"/>
    </row>
    <row r="26" spans="1:9" ht="14.4" customHeight="1" x14ac:dyDescent="0.55000000000000004">
      <c r="A26" s="14" t="s">
        <v>85</v>
      </c>
      <c r="B26" s="4">
        <v>5000</v>
      </c>
      <c r="C26" s="4" t="s">
        <v>86</v>
      </c>
      <c r="D26" s="4">
        <v>3000</v>
      </c>
      <c r="E26" s="4"/>
      <c r="F26" s="4"/>
      <c r="G26" s="4"/>
      <c r="H26" s="4"/>
      <c r="I26" s="8"/>
    </row>
    <row r="27" spans="1:9" ht="14.4" customHeight="1" x14ac:dyDescent="0.55000000000000004">
      <c r="A27" s="14" t="s">
        <v>102</v>
      </c>
      <c r="B27" s="4">
        <v>5000</v>
      </c>
      <c r="C27" s="4" t="s">
        <v>87</v>
      </c>
      <c r="D27" s="4">
        <v>2000</v>
      </c>
      <c r="E27" s="4"/>
      <c r="F27" s="4"/>
      <c r="G27" s="4"/>
      <c r="H27" s="4"/>
      <c r="I27" s="8"/>
    </row>
    <row r="28" spans="1:9" ht="14.4" customHeight="1" x14ac:dyDescent="0.55000000000000004">
      <c r="A28" s="14" t="s">
        <v>88</v>
      </c>
      <c r="B28" s="4">
        <v>22000</v>
      </c>
      <c r="C28" s="4" t="s">
        <v>89</v>
      </c>
      <c r="D28" s="4">
        <v>10000</v>
      </c>
      <c r="E28" s="4"/>
      <c r="F28" s="4"/>
      <c r="G28" s="4"/>
      <c r="H28" s="4"/>
      <c r="I28" s="8"/>
    </row>
    <row r="29" spans="1:9" ht="14.4" customHeight="1" x14ac:dyDescent="0.55000000000000004">
      <c r="A29" s="14" t="s">
        <v>90</v>
      </c>
      <c r="B29" s="4">
        <v>30000</v>
      </c>
      <c r="C29" s="4" t="s">
        <v>91</v>
      </c>
      <c r="D29" s="4">
        <v>30000</v>
      </c>
      <c r="E29" s="4"/>
      <c r="F29" s="4"/>
      <c r="G29" s="4"/>
      <c r="H29" s="4"/>
      <c r="I29" s="8"/>
    </row>
    <row r="30" spans="1:9" ht="14.4" customHeight="1" x14ac:dyDescent="0.55000000000000004">
      <c r="A30" s="14" t="s">
        <v>92</v>
      </c>
      <c r="B30" s="4">
        <v>10000</v>
      </c>
      <c r="C30" s="4" t="s">
        <v>93</v>
      </c>
      <c r="D30" s="4">
        <v>2000</v>
      </c>
      <c r="E30" s="4"/>
      <c r="F30" s="4"/>
      <c r="G30" s="4"/>
      <c r="H30" s="4"/>
      <c r="I30" s="8"/>
    </row>
    <row r="31" spans="1:9" ht="14.4" customHeight="1" x14ac:dyDescent="0.55000000000000004">
      <c r="A31" s="14" t="s">
        <v>94</v>
      </c>
      <c r="B31" s="4">
        <v>8000</v>
      </c>
      <c r="C31" s="4" t="s">
        <v>95</v>
      </c>
      <c r="D31" s="4">
        <v>1500</v>
      </c>
      <c r="E31" s="4"/>
      <c r="F31" s="4"/>
      <c r="G31" s="4"/>
      <c r="H31" s="4"/>
      <c r="I31" s="8"/>
    </row>
    <row r="32" spans="1:9" ht="14.4" customHeight="1" x14ac:dyDescent="0.55000000000000004">
      <c r="A32" s="14" t="s">
        <v>96</v>
      </c>
      <c r="B32" s="4">
        <v>9000</v>
      </c>
      <c r="C32" s="4" t="s">
        <v>97</v>
      </c>
      <c r="D32" s="4">
        <v>2500</v>
      </c>
      <c r="E32" s="4"/>
      <c r="F32" s="4"/>
      <c r="G32" s="4"/>
      <c r="H32" s="4"/>
      <c r="I32" s="8"/>
    </row>
    <row r="33" spans="1:9" ht="14.4" customHeight="1" x14ac:dyDescent="0.55000000000000004">
      <c r="A33" s="14" t="s">
        <v>98</v>
      </c>
      <c r="B33" s="4">
        <v>6000</v>
      </c>
      <c r="C33" s="4" t="s">
        <v>99</v>
      </c>
      <c r="D33" s="4">
        <v>1800</v>
      </c>
      <c r="E33" s="4"/>
      <c r="F33" s="4"/>
      <c r="G33" s="4"/>
      <c r="H33" s="4"/>
      <c r="I33" s="8"/>
    </row>
    <row r="34" spans="1:9" ht="14.4" customHeight="1" x14ac:dyDescent="0.55000000000000004">
      <c r="A34" s="14" t="s">
        <v>100</v>
      </c>
      <c r="B34" s="4">
        <v>15000</v>
      </c>
      <c r="C34" s="4" t="s">
        <v>101</v>
      </c>
      <c r="D34" s="4">
        <v>1600</v>
      </c>
      <c r="E34" s="4"/>
      <c r="F34" s="4"/>
      <c r="G34" s="4"/>
      <c r="H34" s="4"/>
      <c r="I34" s="8"/>
    </row>
    <row r="35" spans="1:9" ht="14.4" customHeight="1" x14ac:dyDescent="0.55000000000000004">
      <c r="A35" s="14"/>
      <c r="B35" s="4"/>
      <c r="C35" s="4" t="s">
        <v>103</v>
      </c>
      <c r="D35" s="4">
        <v>1700</v>
      </c>
      <c r="E35" s="4"/>
      <c r="F35" s="4"/>
      <c r="G35" s="4"/>
      <c r="H35" s="4"/>
      <c r="I35" s="8"/>
    </row>
    <row r="36" spans="1:9" ht="14.4" customHeight="1" x14ac:dyDescent="0.55000000000000004">
      <c r="A36" s="14"/>
      <c r="B36" s="4"/>
      <c r="C36" s="4" t="s">
        <v>108</v>
      </c>
      <c r="D36" s="4">
        <v>344000</v>
      </c>
      <c r="E36" s="4"/>
      <c r="F36" s="4"/>
      <c r="G36" s="4"/>
      <c r="H36" s="4"/>
      <c r="I36" s="8"/>
    </row>
    <row r="37" spans="1:9" ht="14.4" customHeight="1" thickBot="1" x14ac:dyDescent="0.6">
      <c r="A37" s="17"/>
      <c r="B37" s="18"/>
      <c r="C37" s="18" t="s">
        <v>106</v>
      </c>
      <c r="D37" s="18">
        <v>11000</v>
      </c>
      <c r="E37" s="18"/>
      <c r="F37" s="18"/>
      <c r="G37" s="18"/>
      <c r="H37" s="18"/>
      <c r="I37" s="19"/>
    </row>
    <row r="38" spans="1:9" ht="14.7" thickTop="1" x14ac:dyDescent="0.55000000000000004"/>
  </sheetData>
  <mergeCells count="2">
    <mergeCell ref="A1:I5"/>
    <mergeCell ref="A6:I7"/>
  </mergeCells>
  <pageMargins left="0.75" right="0.75" top="1" bottom="1" header="0.5" footer="0.5"/>
  <pageSetup paperSize="2833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Cash Flow Statement</vt:lpstr>
      <vt:lpstr>Income Statement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Gill</cp:lastModifiedBy>
  <dcterms:created xsi:type="dcterms:W3CDTF">2025-04-25T20:39:56Z</dcterms:created>
  <dcterms:modified xsi:type="dcterms:W3CDTF">2025-04-25T21:31:44Z</dcterms:modified>
</cp:coreProperties>
</file>